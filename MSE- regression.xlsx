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rchmining1-my.sharepoint.com/personal/uranbileg_e_erchmining_mn/Documents/private/class/ML/"/>
    </mc:Choice>
  </mc:AlternateContent>
  <xr:revisionPtr revIDLastSave="0" documentId="8_{FFD6924F-952B-4C8A-8918-009C95B75412}" xr6:coauthVersionLast="47" xr6:coauthVersionMax="47" xr10:uidLastSave="{00000000-0000-0000-0000-000000000000}"/>
  <bookViews>
    <workbookView xWindow="-90" yWindow="-90" windowWidth="19380" windowHeight="10260" xr2:uid="{CEAF2F2B-78F0-484C-AD3C-8270D4ED2762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1" l="1"/>
  <c r="N3" i="1"/>
  <c r="N4" i="1"/>
  <c r="N5" i="1"/>
  <c r="N6" i="1"/>
  <c r="N7" i="1"/>
  <c r="N2" i="1"/>
  <c r="M3" i="1"/>
  <c r="M4" i="1"/>
  <c r="M5" i="1"/>
  <c r="M6" i="1"/>
  <c r="M7" i="1"/>
  <c r="M2" i="1"/>
  <c r="K8" i="1"/>
  <c r="K3" i="1"/>
  <c r="K4" i="1"/>
  <c r="K5" i="1"/>
  <c r="K6" i="1"/>
  <c r="K7" i="1"/>
  <c r="K2" i="1"/>
  <c r="L8" i="1"/>
  <c r="L3" i="1"/>
  <c r="L4" i="1"/>
  <c r="L5" i="1"/>
  <c r="L6" i="1"/>
  <c r="L7" i="1"/>
  <c r="L2" i="1"/>
  <c r="J3" i="1"/>
  <c r="J4" i="1"/>
  <c r="J5" i="1"/>
  <c r="J6" i="1"/>
  <c r="J7" i="1"/>
  <c r="J2" i="1"/>
  <c r="H8" i="1"/>
  <c r="G8" i="1"/>
  <c r="D2" i="1"/>
  <c r="C3" i="1"/>
  <c r="F3" i="1" s="1"/>
  <c r="C4" i="1"/>
  <c r="F4" i="1" s="1"/>
  <c r="B8" i="1"/>
  <c r="D3" i="1" s="1"/>
  <c r="A8" i="1"/>
  <c r="C5" i="1" s="1"/>
  <c r="F5" i="1" l="1"/>
  <c r="D7" i="1"/>
  <c r="C2" i="1"/>
  <c r="D6" i="1"/>
  <c r="E4" i="1"/>
  <c r="C7" i="1"/>
  <c r="D5" i="1"/>
  <c r="E5" i="1" s="1"/>
  <c r="E3" i="1"/>
  <c r="C6" i="1"/>
  <c r="D4" i="1"/>
  <c r="F7" i="1" l="1"/>
  <c r="E7" i="1"/>
  <c r="F2" i="1"/>
  <c r="E2" i="1"/>
  <c r="F6" i="1"/>
  <c r="E6" i="1"/>
  <c r="E8" i="1" l="1"/>
  <c r="F8" i="1"/>
</calcChain>
</file>

<file path=xl/sharedStrings.xml><?xml version="1.0" encoding="utf-8"?>
<sst xmlns="http://schemas.openxmlformats.org/spreadsheetml/2006/main" count="13" uniqueCount="13">
  <si>
    <t>Sxy</t>
  </si>
  <si>
    <t>Sxx</t>
  </si>
  <si>
    <t>x</t>
  </si>
  <si>
    <t>y</t>
  </si>
  <si>
    <t>x-x'</t>
  </si>
  <si>
    <t>y-y'</t>
  </si>
  <si>
    <t>w</t>
  </si>
  <si>
    <t>b</t>
  </si>
  <si>
    <t>y = 1.84x+0.47</t>
  </si>
  <si>
    <t>y estimate</t>
  </si>
  <si>
    <t>MSE</t>
  </si>
  <si>
    <t>total square error</t>
  </si>
  <si>
    <t>ridgre regression - y 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</si>
</sst>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26225-BEF6-48CC-A04D-E2E7543EACBB}">
  <dimension ref="A1:N9"/>
  <sheetViews>
    <sheetView tabSelected="1" workbookViewId="0">
      <selection activeCell="N8" sqref="N8"/>
    </sheetView>
  </sheetViews>
  <sheetFormatPr defaultRowHeight="14.75" x14ac:dyDescent="0.75"/>
  <cols>
    <col min="9" max="9" width="14.76953125" customWidth="1"/>
  </cols>
  <sheetData>
    <row r="1" spans="1:14" x14ac:dyDescent="0.75">
      <c r="A1" t="s">
        <v>2</v>
      </c>
      <c r="B1" t="s">
        <v>3</v>
      </c>
      <c r="C1" t="s">
        <v>4</v>
      </c>
      <c r="D1" t="s">
        <v>5</v>
      </c>
      <c r="E1" t="s">
        <v>0</v>
      </c>
      <c r="F1" t="s">
        <v>1</v>
      </c>
      <c r="G1" t="s">
        <v>6</v>
      </c>
      <c r="H1" t="s">
        <v>7</v>
      </c>
      <c r="I1" t="s">
        <v>8</v>
      </c>
      <c r="J1" t="s">
        <v>9</v>
      </c>
      <c r="K1" t="s">
        <v>11</v>
      </c>
      <c r="L1" t="s">
        <v>10</v>
      </c>
      <c r="M1" t="s">
        <v>12</v>
      </c>
    </row>
    <row r="2" spans="1:14" x14ac:dyDescent="0.75">
      <c r="A2">
        <v>1</v>
      </c>
      <c r="B2">
        <v>3</v>
      </c>
      <c r="C2">
        <f>A2-$A$8</f>
        <v>-2.5</v>
      </c>
      <c r="D2">
        <f>B2-$B$8</f>
        <v>-3.916666666666667</v>
      </c>
      <c r="E2">
        <f>C2*D2</f>
        <v>9.7916666666666679</v>
      </c>
      <c r="F2">
        <f>C2*C2</f>
        <v>6.25</v>
      </c>
      <c r="J2">
        <f>$G$8*A2+$H$8</f>
        <v>2.3095238095238102</v>
      </c>
      <c r="K2" s="1">
        <f>(B2-J2)^2</f>
        <v>0.47675736961451154</v>
      </c>
      <c r="L2" s="1">
        <f>(B2-J2)^2</f>
        <v>0.47675736961451154</v>
      </c>
      <c r="M2" s="1">
        <f>0.7+1.777*A2</f>
        <v>2.4769999999999999</v>
      </c>
      <c r="N2" s="1">
        <f>(B2-M2)^2</f>
        <v>0.27352900000000013</v>
      </c>
    </row>
    <row r="3" spans="1:14" x14ac:dyDescent="0.75">
      <c r="A3">
        <v>2</v>
      </c>
      <c r="B3">
        <v>4</v>
      </c>
      <c r="C3">
        <f t="shared" ref="C3:C7" si="0">A3-$A$8</f>
        <v>-1.5</v>
      </c>
      <c r="D3">
        <f t="shared" ref="D3:D7" si="1">B3-$B$8</f>
        <v>-2.916666666666667</v>
      </c>
      <c r="E3">
        <f t="shared" ref="E3:E7" si="2">C3*D3</f>
        <v>4.375</v>
      </c>
      <c r="F3">
        <f t="shared" ref="F3:F7" si="3">C3*C3</f>
        <v>2.25</v>
      </c>
      <c r="J3">
        <f t="shared" ref="J3:J7" si="4">$G$8*A3+$H$8</f>
        <v>4.1523809523809536</v>
      </c>
      <c r="K3" s="1">
        <f t="shared" ref="K3:K7" si="5">(B3-J3)^2</f>
        <v>2.3219954648526452E-2</v>
      </c>
      <c r="L3" s="1">
        <f>(B3-J3)^2</f>
        <v>2.3219954648526452E-2</v>
      </c>
      <c r="M3" s="1">
        <f t="shared" ref="M3:M7" si="6">0.7+1.777*A3</f>
        <v>4.2539999999999996</v>
      </c>
      <c r="N3" s="1">
        <f t="shared" ref="N3:N7" si="7">(B3-M3)^2</f>
        <v>6.4515999999999782E-2</v>
      </c>
    </row>
    <row r="4" spans="1:14" x14ac:dyDescent="0.75">
      <c r="A4">
        <v>3</v>
      </c>
      <c r="B4">
        <v>5.5</v>
      </c>
      <c r="C4">
        <f t="shared" si="0"/>
        <v>-0.5</v>
      </c>
      <c r="D4">
        <f t="shared" si="1"/>
        <v>-1.416666666666667</v>
      </c>
      <c r="E4">
        <f t="shared" si="2"/>
        <v>0.70833333333333348</v>
      </c>
      <c r="F4">
        <f t="shared" si="3"/>
        <v>0.25</v>
      </c>
      <c r="J4">
        <f t="shared" si="4"/>
        <v>5.9952380952380961</v>
      </c>
      <c r="K4" s="1">
        <f t="shared" si="5"/>
        <v>0.24526077097505758</v>
      </c>
      <c r="L4" s="1">
        <f>(B4-J4)^2</f>
        <v>0.24526077097505758</v>
      </c>
      <c r="M4" s="1">
        <f t="shared" si="6"/>
        <v>6.0309999999999997</v>
      </c>
      <c r="N4" s="1">
        <f t="shared" si="7"/>
        <v>0.28196099999999968</v>
      </c>
    </row>
    <row r="5" spans="1:14" x14ac:dyDescent="0.75">
      <c r="A5">
        <v>4</v>
      </c>
      <c r="B5">
        <v>7</v>
      </c>
      <c r="C5">
        <f t="shared" si="0"/>
        <v>0.5</v>
      </c>
      <c r="D5">
        <f t="shared" si="1"/>
        <v>8.3333333333333037E-2</v>
      </c>
      <c r="E5">
        <f t="shared" si="2"/>
        <v>4.1666666666666519E-2</v>
      </c>
      <c r="F5">
        <f t="shared" si="3"/>
        <v>0.25</v>
      </c>
      <c r="J5">
        <f t="shared" si="4"/>
        <v>7.8380952380952387</v>
      </c>
      <c r="K5" s="1">
        <f t="shared" si="5"/>
        <v>0.70240362811791479</v>
      </c>
      <c r="L5" s="1">
        <f>(B5-J5)^2</f>
        <v>0.70240362811791479</v>
      </c>
      <c r="M5" s="1">
        <f t="shared" si="6"/>
        <v>7.8079999999999998</v>
      </c>
      <c r="N5" s="1">
        <f t="shared" si="7"/>
        <v>0.65286399999999978</v>
      </c>
    </row>
    <row r="6" spans="1:14" x14ac:dyDescent="0.75">
      <c r="A6">
        <v>5</v>
      </c>
      <c r="B6">
        <v>10</v>
      </c>
      <c r="C6">
        <f t="shared" si="0"/>
        <v>1.5</v>
      </c>
      <c r="D6">
        <f t="shared" si="1"/>
        <v>3.083333333333333</v>
      </c>
      <c r="E6">
        <f t="shared" si="2"/>
        <v>4.625</v>
      </c>
      <c r="F6">
        <f t="shared" si="3"/>
        <v>2.25</v>
      </c>
      <c r="J6">
        <f t="shared" si="4"/>
        <v>9.6809523809523803</v>
      </c>
      <c r="K6" s="1">
        <f t="shared" si="5"/>
        <v>0.10179138321995505</v>
      </c>
      <c r="L6" s="1">
        <f>(B6-J6)^2</f>
        <v>0.10179138321995505</v>
      </c>
      <c r="M6" s="1">
        <f t="shared" si="6"/>
        <v>9.5849999999999991</v>
      </c>
      <c r="N6" s="1">
        <f t="shared" si="7"/>
        <v>0.17222500000000077</v>
      </c>
    </row>
    <row r="7" spans="1:14" x14ac:dyDescent="0.75">
      <c r="A7">
        <v>6</v>
      </c>
      <c r="B7">
        <v>12</v>
      </c>
      <c r="C7">
        <f t="shared" si="0"/>
        <v>2.5</v>
      </c>
      <c r="D7">
        <f t="shared" si="1"/>
        <v>5.083333333333333</v>
      </c>
      <c r="E7">
        <f t="shared" si="2"/>
        <v>12.708333333333332</v>
      </c>
      <c r="F7">
        <f t="shared" si="3"/>
        <v>6.25</v>
      </c>
      <c r="J7">
        <f t="shared" si="4"/>
        <v>11.523809523809526</v>
      </c>
      <c r="K7" s="1">
        <f t="shared" si="5"/>
        <v>0.22675736961451087</v>
      </c>
      <c r="L7" s="1">
        <f>(B7-J7)^2</f>
        <v>0.22675736961451087</v>
      </c>
      <c r="M7" s="1">
        <f t="shared" si="6"/>
        <v>11.361999999999998</v>
      </c>
      <c r="N7" s="1">
        <f t="shared" si="7"/>
        <v>0.40704400000000213</v>
      </c>
    </row>
    <row r="8" spans="1:14" x14ac:dyDescent="0.75">
      <c r="A8" s="1">
        <f>AVERAGE(A2:A7)</f>
        <v>3.5</v>
      </c>
      <c r="B8" s="1">
        <f>AVERAGE(B2:B7)</f>
        <v>6.916666666666667</v>
      </c>
      <c r="C8" s="1"/>
      <c r="D8" s="1"/>
      <c r="E8" s="1">
        <f>SUM(E2:E7)</f>
        <v>32.25</v>
      </c>
      <c r="F8" s="1">
        <f>SUM(F2:F7)</f>
        <v>17.5</v>
      </c>
      <c r="G8" s="1">
        <f t="shared" ref="G3:G8" si="8">E8/F8</f>
        <v>1.8428571428571427</v>
      </c>
      <c r="H8" s="1">
        <f>B8-G8*A8</f>
        <v>0.46666666666666767</v>
      </c>
      <c r="K8" s="1">
        <f>SUM(K2:K7)</f>
        <v>1.7761904761904763</v>
      </c>
      <c r="L8" s="2">
        <f>SUM(L2:L7)/6</f>
        <v>0.29603174603174603</v>
      </c>
      <c r="M8" s="2"/>
      <c r="N8" s="2">
        <f>SUM(N2:N7)/6</f>
        <v>0.30868983333333372</v>
      </c>
    </row>
    <row r="9" spans="1:14" x14ac:dyDescent="0.75">
      <c r="A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Uranbileg Enkhjargal</dc:creator>
  <cp:lastModifiedBy>Uranbileg Enkhjargal</cp:lastModifiedBy>
  <dcterms:created xsi:type="dcterms:W3CDTF">2025-09-26T13:29:54Z</dcterms:created>
  <dcterms:modified xsi:type="dcterms:W3CDTF">2025-09-26T13:47:57Z</dcterms:modified>
</cp:coreProperties>
</file>